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results/"/>
    </mc:Choice>
  </mc:AlternateContent>
  <xr:revisionPtr revIDLastSave="0" documentId="13_ncr:1_{851FB0F8-5328-4344-AD3B-009AB629BD47}" xr6:coauthVersionLast="47" xr6:coauthVersionMax="47" xr10:uidLastSave="{00000000-0000-0000-0000-000000000000}"/>
  <bookViews>
    <workbookView xWindow="0" yWindow="3920" windowWidth="29400" windowHeight="17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AA10" i="1" s="1"/>
  <c r="Z9" i="1"/>
  <c r="AA9" i="1" s="1"/>
  <c r="Z6" i="1"/>
  <c r="AA6" i="1" s="1"/>
  <c r="Z7" i="1"/>
  <c r="AA7" i="1" s="1"/>
  <c r="Z8" i="1"/>
  <c r="AA8" i="1" s="1"/>
  <c r="Z3" i="1"/>
  <c r="AA3" i="1" s="1"/>
  <c r="Z4" i="1"/>
  <c r="AA4" i="1" s="1"/>
  <c r="Z5" i="1"/>
  <c r="AA5" i="1" s="1"/>
  <c r="Z2" i="1"/>
  <c r="AA2" i="1" s="1"/>
</calcChain>
</file>

<file path=xl/sharedStrings.xml><?xml version="1.0" encoding="utf-8"?>
<sst xmlns="http://schemas.openxmlformats.org/spreadsheetml/2006/main" count="42" uniqueCount="30">
  <si>
    <t>Dataset</t>
  </si>
  <si>
    <t>n</t>
  </si>
  <si>
    <t>n_filtered</t>
  </si>
  <si>
    <t>gamma</t>
  </si>
  <si>
    <t>r_c</t>
  </si>
  <si>
    <t>beta</t>
  </si>
  <si>
    <t>beta_scaled</t>
  </si>
  <si>
    <t>tr_factor</t>
  </si>
  <si>
    <t>t</t>
  </si>
  <si>
    <t>dropped_assets</t>
  </si>
  <si>
    <t>dropped_gamma</t>
  </si>
  <si>
    <t>dropped_t</t>
  </si>
  <si>
    <t>drop_fraction</t>
  </si>
  <si>
    <t>drop_farthest</t>
  </si>
  <si>
    <t>n_warm_start</t>
  </si>
  <si>
    <t>warm_start_dropped_assets</t>
  </si>
  <si>
    <t>obj_BnB_warm</t>
  </si>
  <si>
    <t>nnz_BnB_warm</t>
  </si>
  <si>
    <t>time_BnB_warm</t>
  </si>
  <si>
    <t>time_cpu_BnB_warm</t>
  </si>
  <si>
    <t>obj_MIP_GUROBI</t>
  </si>
  <si>
    <t>nnz_MIP_GUROBI</t>
  </si>
  <si>
    <t>time_MIP_GUROBI</t>
  </si>
  <si>
    <t>time_cpu_MIP_GUROBI</t>
  </si>
  <si>
    <t>gap_MIP_GUROBI</t>
  </si>
  <si>
    <t>diff_BnB_vs_GUROBI</t>
  </si>
  <si>
    <t>diff_pct_BnB_vs_GUROBI</t>
  </si>
  <si>
    <t>/home/ecyayla/projects/robust-mean-variance-portfolio-optimization/rmvp/datasets/NASDAQ100_returns.xlsx</t>
  </si>
  <si>
    <t>/home/ecyayla/projects/robust-mean-variance-portfolio-optimization/rmvp/datasets/SP500_returns.xlsx</t>
  </si>
  <si>
    <t>/home/ecyayla/projects/robust-mean-variance-portfolio-optimization/rmvp/datasets/FTSE100_returns.xlsx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</si>
</sst>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workbookViewId="0">
      <selection activeCell="T9" sqref="T9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>
        <v>70</v>
      </c>
      <c r="C2">
        <v>69</v>
      </c>
      <c r="D2">
        <v>1E-3</v>
      </c>
      <c r="E2">
        <v>2.0000000000000001E-4</v>
      </c>
      <c r="F2">
        <v>1E-3</v>
      </c>
      <c r="G2">
        <v>1E-3</v>
      </c>
      <c r="H2">
        <v>1.05</v>
      </c>
      <c r="I2">
        <v>1</v>
      </c>
      <c r="J2">
        <v>1</v>
      </c>
      <c r="K2">
        <v>0</v>
      </c>
      <c r="L2">
        <v>1</v>
      </c>
      <c r="M2">
        <v>0.5</v>
      </c>
      <c r="N2" t="b">
        <v>1</v>
      </c>
      <c r="O2">
        <v>34</v>
      </c>
      <c r="P2">
        <v>35</v>
      </c>
      <c r="Q2">
        <v>-8.1013611204720601E-2</v>
      </c>
      <c r="R2">
        <v>17</v>
      </c>
      <c r="S2">
        <v>408.7281596660614</v>
      </c>
      <c r="T2">
        <v>3213.3639293350002</v>
      </c>
      <c r="U2">
        <v>-8.1406203644576569E-2</v>
      </c>
      <c r="V2">
        <v>17</v>
      </c>
      <c r="W2">
        <v>43207.212744951248</v>
      </c>
      <c r="X2">
        <v>42511.708698909002</v>
      </c>
      <c r="Y2">
        <v>0.13725606784316721</v>
      </c>
      <c r="Z2">
        <f>(U2-Q2)/U2</f>
        <v>4.8226354046682473E-3</v>
      </c>
      <c r="AA2">
        <f>100*Z2</f>
        <v>0.48226354046682474</v>
      </c>
    </row>
    <row r="3" spans="1:27" x14ac:dyDescent="0.2">
      <c r="A3" t="s">
        <v>27</v>
      </c>
      <c r="B3">
        <v>70</v>
      </c>
      <c r="C3">
        <v>69</v>
      </c>
      <c r="D3">
        <v>1E-3</v>
      </c>
      <c r="E3">
        <v>2.0000000000000001E-4</v>
      </c>
      <c r="F3">
        <v>1E-3</v>
      </c>
      <c r="G3">
        <v>1E-3</v>
      </c>
      <c r="H3">
        <v>1.05</v>
      </c>
      <c r="I3">
        <v>1</v>
      </c>
      <c r="J3">
        <v>1</v>
      </c>
      <c r="K3">
        <v>0</v>
      </c>
      <c r="L3">
        <v>1</v>
      </c>
      <c r="M3">
        <v>0.4</v>
      </c>
      <c r="N3" t="b">
        <v>1</v>
      </c>
      <c r="O3">
        <v>41</v>
      </c>
      <c r="P3">
        <v>28</v>
      </c>
      <c r="Q3">
        <v>-8.1018659808745327E-2</v>
      </c>
      <c r="R3">
        <v>18</v>
      </c>
      <c r="S3">
        <v>6225.3544523715973</v>
      </c>
      <c r="T3">
        <v>48602.937702376003</v>
      </c>
      <c r="U3">
        <v>-8.1406203644576569E-2</v>
      </c>
      <c r="V3">
        <v>17</v>
      </c>
      <c r="W3">
        <v>43207.212744951248</v>
      </c>
      <c r="X3">
        <v>42511.708698909002</v>
      </c>
      <c r="Y3">
        <v>0.13725606784316721</v>
      </c>
      <c r="Z3">
        <f t="shared" ref="Z3:Z8" si="0">(U3-Q3)/U3</f>
        <v>4.7606179686658376E-3</v>
      </c>
      <c r="AA3">
        <f t="shared" ref="AA3:AA8" si="1">100*Z3</f>
        <v>0.47606179686658379</v>
      </c>
    </row>
    <row r="4" spans="1:27" x14ac:dyDescent="0.2">
      <c r="A4" t="s">
        <v>27</v>
      </c>
      <c r="B4">
        <v>70</v>
      </c>
      <c r="C4">
        <v>69</v>
      </c>
      <c r="D4">
        <v>1E-3</v>
      </c>
      <c r="E4">
        <v>2.0000000000000001E-4</v>
      </c>
      <c r="F4">
        <v>5.0000000000000001E-4</v>
      </c>
      <c r="G4">
        <v>5.0000000000000001E-4</v>
      </c>
      <c r="H4">
        <v>1.05</v>
      </c>
      <c r="I4">
        <v>1</v>
      </c>
      <c r="J4">
        <v>1</v>
      </c>
      <c r="K4">
        <v>0</v>
      </c>
      <c r="L4">
        <v>1</v>
      </c>
      <c r="M4">
        <v>0.5</v>
      </c>
      <c r="N4" t="b">
        <v>1</v>
      </c>
      <c r="O4">
        <v>34</v>
      </c>
      <c r="P4">
        <v>35</v>
      </c>
      <c r="Q4">
        <v>-9.1963105378207552E-2</v>
      </c>
      <c r="R4">
        <v>27</v>
      </c>
      <c r="S4">
        <v>43.432230949401863</v>
      </c>
      <c r="T4">
        <v>344.99628645599302</v>
      </c>
      <c r="U4">
        <v>-9.3102973752475907E-2</v>
      </c>
      <c r="V4">
        <v>31</v>
      </c>
      <c r="W4">
        <v>43206.758189439774</v>
      </c>
      <c r="X4">
        <v>43233.960944746002</v>
      </c>
      <c r="Y4">
        <v>6.827197544819899E-2</v>
      </c>
      <c r="Z4">
        <f t="shared" si="0"/>
        <v>1.22430930863585E-2</v>
      </c>
      <c r="AA4">
        <f t="shared" si="1"/>
        <v>1.2243093086358501</v>
      </c>
    </row>
    <row r="5" spans="1:27" x14ac:dyDescent="0.2">
      <c r="A5" t="s">
        <v>27</v>
      </c>
      <c r="B5">
        <v>70</v>
      </c>
      <c r="C5">
        <v>69</v>
      </c>
      <c r="D5">
        <v>1E-3</v>
      </c>
      <c r="E5">
        <v>2.0000000000000001E-4</v>
      </c>
      <c r="F5">
        <v>5.0000000000000001E-4</v>
      </c>
      <c r="G5">
        <v>5.0000000000000001E-4</v>
      </c>
      <c r="H5">
        <v>1.05</v>
      </c>
      <c r="I5">
        <v>1</v>
      </c>
      <c r="J5">
        <v>1</v>
      </c>
      <c r="K5">
        <v>0</v>
      </c>
      <c r="L5">
        <v>1</v>
      </c>
      <c r="M5">
        <v>0.4</v>
      </c>
      <c r="N5" t="b">
        <v>1</v>
      </c>
      <c r="O5">
        <v>41</v>
      </c>
      <c r="P5">
        <v>28</v>
      </c>
      <c r="Q5">
        <v>-9.255464783585593E-2</v>
      </c>
      <c r="R5">
        <v>30</v>
      </c>
      <c r="S5">
        <v>852.96059894561768</v>
      </c>
      <c r="T5">
        <v>6710.5098952489898</v>
      </c>
      <c r="U5">
        <v>-9.3102973752475907E-2</v>
      </c>
      <c r="V5">
        <v>31</v>
      </c>
      <c r="W5">
        <v>43206.758189439774</v>
      </c>
      <c r="X5">
        <v>43233.960944746002</v>
      </c>
      <c r="Y5">
        <v>6.827197544819899E-2</v>
      </c>
      <c r="Z5">
        <f t="shared" si="0"/>
        <v>5.8894565288296705E-3</v>
      </c>
      <c r="AA5">
        <f t="shared" si="1"/>
        <v>0.58894565288296707</v>
      </c>
    </row>
    <row r="6" spans="1:27" x14ac:dyDescent="0.2">
      <c r="A6" t="s">
        <v>28</v>
      </c>
      <c r="B6">
        <v>420</v>
      </c>
      <c r="C6">
        <v>401</v>
      </c>
      <c r="D6">
        <v>1E-3</v>
      </c>
      <c r="E6">
        <v>2.0000000000000001E-4</v>
      </c>
      <c r="F6">
        <v>1E-3</v>
      </c>
      <c r="G6">
        <v>1E-3</v>
      </c>
      <c r="H6">
        <v>1.05</v>
      </c>
      <c r="I6">
        <v>1</v>
      </c>
      <c r="J6">
        <v>19</v>
      </c>
      <c r="K6">
        <v>6</v>
      </c>
      <c r="L6">
        <v>13</v>
      </c>
      <c r="M6">
        <v>0.9</v>
      </c>
      <c r="N6" t="b">
        <v>1</v>
      </c>
      <c r="O6">
        <v>40</v>
      </c>
      <c r="P6">
        <v>361</v>
      </c>
      <c r="Q6">
        <v>-9.3165293170247604E-2</v>
      </c>
      <c r="R6">
        <v>22</v>
      </c>
      <c r="S6">
        <v>775.81543946266174</v>
      </c>
      <c r="T6">
        <v>5152.4338281749997</v>
      </c>
      <c r="U6">
        <v>-0.10762812376863221</v>
      </c>
      <c r="V6">
        <v>37</v>
      </c>
      <c r="W6">
        <v>43204.508549690247</v>
      </c>
      <c r="X6">
        <v>43213.962976981988</v>
      </c>
      <c r="Y6">
        <v>0.87261122649833101</v>
      </c>
      <c r="Z6">
        <f t="shared" si="0"/>
        <v>0.1343778010055745</v>
      </c>
      <c r="AA6">
        <f t="shared" si="1"/>
        <v>13.43778010055745</v>
      </c>
    </row>
    <row r="7" spans="1:27" x14ac:dyDescent="0.2">
      <c r="A7" t="s">
        <v>28</v>
      </c>
      <c r="B7">
        <v>420</v>
      </c>
      <c r="C7">
        <v>409</v>
      </c>
      <c r="D7">
        <v>1E-3</v>
      </c>
      <c r="E7">
        <v>2.0000000000000001E-4</v>
      </c>
      <c r="F7">
        <v>5.0000000000000001E-4</v>
      </c>
      <c r="G7">
        <v>5.0000000000000001E-4</v>
      </c>
      <c r="H7">
        <v>1.05</v>
      </c>
      <c r="I7">
        <v>1</v>
      </c>
      <c r="J7">
        <v>11</v>
      </c>
      <c r="K7">
        <v>6</v>
      </c>
      <c r="L7">
        <v>5</v>
      </c>
      <c r="M7">
        <v>0.9</v>
      </c>
      <c r="N7" t="b">
        <v>1</v>
      </c>
      <c r="O7">
        <v>40</v>
      </c>
      <c r="P7">
        <v>369</v>
      </c>
      <c r="Q7">
        <v>-0.1048832616679433</v>
      </c>
      <c r="R7">
        <v>31</v>
      </c>
      <c r="S7">
        <v>225.14311146736151</v>
      </c>
      <c r="T7">
        <v>1455.43413474</v>
      </c>
      <c r="U7">
        <v>-0.13585297617962469</v>
      </c>
      <c r="V7">
        <v>76</v>
      </c>
      <c r="W7">
        <v>43204.751145601273</v>
      </c>
      <c r="X7">
        <v>43233.607853102003</v>
      </c>
      <c r="Y7">
        <v>0.52973708730427649</v>
      </c>
      <c r="Z7">
        <f t="shared" si="0"/>
        <v>0.22796493225686315</v>
      </c>
      <c r="AA7">
        <f t="shared" si="1"/>
        <v>22.796493225686316</v>
      </c>
    </row>
    <row r="8" spans="1:27" x14ac:dyDescent="0.2">
      <c r="A8" t="s">
        <v>28</v>
      </c>
      <c r="B8">
        <v>420</v>
      </c>
      <c r="C8">
        <v>413</v>
      </c>
      <c r="D8">
        <v>1E-3</v>
      </c>
      <c r="E8">
        <v>2.0000000000000001E-4</v>
      </c>
      <c r="F8">
        <v>1E-4</v>
      </c>
      <c r="G8">
        <v>1E-4</v>
      </c>
      <c r="H8">
        <v>1.05</v>
      </c>
      <c r="I8">
        <v>1</v>
      </c>
      <c r="J8">
        <v>7</v>
      </c>
      <c r="K8">
        <v>6</v>
      </c>
      <c r="L8">
        <v>1</v>
      </c>
      <c r="M8">
        <v>0.9</v>
      </c>
      <c r="N8" t="b">
        <v>1</v>
      </c>
      <c r="O8">
        <v>41</v>
      </c>
      <c r="P8">
        <v>372</v>
      </c>
      <c r="Q8">
        <v>-0.1202070548593005</v>
      </c>
      <c r="R8">
        <v>39</v>
      </c>
      <c r="S8">
        <v>0.43737673759460449</v>
      </c>
      <c r="T8">
        <v>3.114307696000651</v>
      </c>
      <c r="U8">
        <v>-0.1882760713278295</v>
      </c>
      <c r="V8">
        <v>222</v>
      </c>
      <c r="W8">
        <v>43204.654716730118</v>
      </c>
      <c r="X8">
        <v>43231.819999797997</v>
      </c>
      <c r="Y8">
        <v>0.1348167387945384</v>
      </c>
      <c r="Z8">
        <f t="shared" si="0"/>
        <v>0.36153833032773491</v>
      </c>
      <c r="AA8">
        <f t="shared" si="1"/>
        <v>36.153833032773491</v>
      </c>
    </row>
    <row r="9" spans="1:27" x14ac:dyDescent="0.2">
      <c r="A9" t="s">
        <v>28</v>
      </c>
      <c r="B9">
        <v>420</v>
      </c>
      <c r="C9">
        <v>413</v>
      </c>
      <c r="D9">
        <v>1E-3</v>
      </c>
      <c r="E9">
        <v>2.0000000000000001E-4</v>
      </c>
      <c r="F9">
        <v>1E-4</v>
      </c>
      <c r="G9">
        <v>1E-4</v>
      </c>
      <c r="H9">
        <v>1.05</v>
      </c>
      <c r="I9">
        <v>1</v>
      </c>
      <c r="J9">
        <v>7</v>
      </c>
      <c r="K9">
        <v>6</v>
      </c>
      <c r="L9">
        <v>1</v>
      </c>
      <c r="M9">
        <v>0.85</v>
      </c>
      <c r="N9" t="b">
        <v>1</v>
      </c>
      <c r="O9">
        <v>61</v>
      </c>
      <c r="P9">
        <v>352</v>
      </c>
      <c r="Q9">
        <v>-0.14255559151458619</v>
      </c>
      <c r="R9">
        <v>58</v>
      </c>
      <c r="S9">
        <v>51.618069410324097</v>
      </c>
      <c r="T9">
        <v>358.87623630100001</v>
      </c>
      <c r="U9">
        <v>-0.1882760713278295</v>
      </c>
      <c r="V9">
        <v>222</v>
      </c>
      <c r="W9">
        <v>43204.654716730118</v>
      </c>
      <c r="X9">
        <v>43231.819999797997</v>
      </c>
      <c r="Y9">
        <v>0.1348167387945384</v>
      </c>
      <c r="Z9">
        <f t="shared" ref="Z9" si="2">(U9-Q9)/U9</f>
        <v>0.24283744339254901</v>
      </c>
      <c r="AA9">
        <f t="shared" ref="AA9" si="3">100*Z9</f>
        <v>24.283744339254902</v>
      </c>
    </row>
    <row r="10" spans="1:27" x14ac:dyDescent="0.2">
      <c r="A10" t="s">
        <v>28</v>
      </c>
      <c r="B10">
        <v>420</v>
      </c>
      <c r="C10">
        <v>413</v>
      </c>
      <c r="D10">
        <v>1E-3</v>
      </c>
      <c r="E10">
        <v>2.0000000000000001E-4</v>
      </c>
      <c r="F10">
        <v>1E-4</v>
      </c>
      <c r="G10">
        <v>1E-4</v>
      </c>
      <c r="H10">
        <v>1.05</v>
      </c>
      <c r="I10">
        <v>1</v>
      </c>
      <c r="J10">
        <v>7</v>
      </c>
      <c r="K10">
        <v>6</v>
      </c>
      <c r="L10">
        <v>1</v>
      </c>
      <c r="M10">
        <v>0.8</v>
      </c>
      <c r="N10" t="b">
        <v>1</v>
      </c>
      <c r="O10">
        <v>82</v>
      </c>
      <c r="P10">
        <v>331</v>
      </c>
      <c r="Q10">
        <v>-0.156817803783497</v>
      </c>
      <c r="R10">
        <v>78</v>
      </c>
      <c r="S10">
        <v>2244.062296390533</v>
      </c>
      <c r="T10">
        <v>15829.648376179999</v>
      </c>
      <c r="U10">
        <v>-0.1882760713278295</v>
      </c>
      <c r="V10">
        <v>222</v>
      </c>
      <c r="W10">
        <v>43204.654716730118</v>
      </c>
      <c r="X10">
        <v>43231.819999797997</v>
      </c>
      <c r="Y10">
        <v>0.1348167387945384</v>
      </c>
      <c r="Z10">
        <f t="shared" ref="Z10" si="4">(U10-Q10)/U10</f>
        <v>0.16708585070036241</v>
      </c>
      <c r="AA10">
        <f t="shared" ref="AA10" si="5">100*Z10</f>
        <v>16.708585070036243</v>
      </c>
    </row>
    <row r="11" spans="1:27" x14ac:dyDescent="0.2">
      <c r="A11" t="s">
        <v>29</v>
      </c>
      <c r="B11">
        <v>82</v>
      </c>
      <c r="C11">
        <v>71</v>
      </c>
      <c r="D11">
        <v>1E-3</v>
      </c>
      <c r="E11">
        <v>2.0000000000000001E-4</v>
      </c>
      <c r="F11">
        <v>1E-3</v>
      </c>
      <c r="G11">
        <v>1E-3</v>
      </c>
      <c r="H11">
        <v>1.05</v>
      </c>
      <c r="I11">
        <v>1</v>
      </c>
      <c r="J11">
        <v>11</v>
      </c>
      <c r="K11">
        <v>4</v>
      </c>
      <c r="L11">
        <v>7</v>
      </c>
      <c r="M11">
        <v>0.8</v>
      </c>
      <c r="N11" t="b">
        <v>1</v>
      </c>
      <c r="O11">
        <v>14</v>
      </c>
      <c r="P11">
        <v>57</v>
      </c>
      <c r="Q11">
        <v>-7.0406036464579214E-2</v>
      </c>
      <c r="R11">
        <v>11</v>
      </c>
      <c r="S11">
        <v>4.5026063919067383E-2</v>
      </c>
      <c r="T11">
        <v>0.31478482900274679</v>
      </c>
      <c r="U11">
        <v>-7.2723769134317648E-2</v>
      </c>
      <c r="V11">
        <v>16</v>
      </c>
      <c r="W11">
        <v>43206.827509641647</v>
      </c>
      <c r="X11">
        <v>42402.870788679997</v>
      </c>
      <c r="Y11">
        <v>8.5579422762965277E-2</v>
      </c>
      <c r="Z11">
        <v>2.3177326697384338E-3</v>
      </c>
      <c r="AA11">
        <v>-3.1870359544452138</v>
      </c>
    </row>
    <row r="12" spans="1:27" x14ac:dyDescent="0.2">
      <c r="A12" t="s">
        <v>29</v>
      </c>
      <c r="B12">
        <v>82</v>
      </c>
      <c r="C12">
        <v>71</v>
      </c>
      <c r="D12">
        <v>1E-3</v>
      </c>
      <c r="E12">
        <v>2.0000000000000001E-4</v>
      </c>
      <c r="F12">
        <v>1E-3</v>
      </c>
      <c r="G12">
        <v>1E-3</v>
      </c>
      <c r="H12">
        <v>1.05</v>
      </c>
      <c r="I12">
        <v>1</v>
      </c>
      <c r="J12">
        <v>11</v>
      </c>
      <c r="K12">
        <v>4</v>
      </c>
      <c r="L12">
        <v>7</v>
      </c>
      <c r="M12">
        <v>0.7</v>
      </c>
      <c r="N12" t="b">
        <v>1</v>
      </c>
      <c r="O12">
        <v>21</v>
      </c>
      <c r="P12">
        <v>50</v>
      </c>
      <c r="Q12">
        <v>-7.1793086038833179E-2</v>
      </c>
      <c r="R12">
        <v>14</v>
      </c>
      <c r="S12">
        <v>1.8562324047088621</v>
      </c>
      <c r="T12">
        <v>13.08372331099963</v>
      </c>
      <c r="U12">
        <v>-7.2723769134317648E-2</v>
      </c>
      <c r="V12">
        <v>16</v>
      </c>
      <c r="W12">
        <v>43206.827509641647</v>
      </c>
      <c r="X12">
        <v>42402.870788679997</v>
      </c>
      <c r="Y12">
        <v>8.5579422762965277E-2</v>
      </c>
      <c r="Z12">
        <v>9.3068309548446915E-4</v>
      </c>
      <c r="AA12">
        <v>-1.2797509075272731</v>
      </c>
    </row>
    <row r="13" spans="1:27" x14ac:dyDescent="0.2">
      <c r="A13" t="s">
        <v>29</v>
      </c>
      <c r="B13">
        <v>82</v>
      </c>
      <c r="C13">
        <v>71</v>
      </c>
      <c r="D13">
        <v>1E-3</v>
      </c>
      <c r="E13">
        <v>2.0000000000000001E-4</v>
      </c>
      <c r="F13">
        <v>1E-3</v>
      </c>
      <c r="G13">
        <v>1E-3</v>
      </c>
      <c r="H13">
        <v>1.05</v>
      </c>
      <c r="I13">
        <v>1</v>
      </c>
      <c r="J13">
        <v>11</v>
      </c>
      <c r="K13">
        <v>4</v>
      </c>
      <c r="L13">
        <v>7</v>
      </c>
      <c r="M13">
        <v>0.6</v>
      </c>
      <c r="N13" t="b">
        <v>1</v>
      </c>
      <c r="O13">
        <v>28</v>
      </c>
      <c r="P13">
        <v>43</v>
      </c>
      <c r="Q13">
        <v>-7.2723769271172883E-2</v>
      </c>
      <c r="R13">
        <v>16</v>
      </c>
      <c r="S13">
        <v>162.1388506889343</v>
      </c>
      <c r="T13">
        <v>916.80882312099902</v>
      </c>
      <c r="U13">
        <v>-7.2723769134317648E-2</v>
      </c>
      <c r="V13">
        <v>16</v>
      </c>
      <c r="W13">
        <v>43206.827509641647</v>
      </c>
      <c r="X13">
        <v>42402.870788679997</v>
      </c>
      <c r="Y13">
        <v>8.5579422762965277E-2</v>
      </c>
      <c r="Z13">
        <v>-1.3685523547746209E-10</v>
      </c>
      <c r="AA13">
        <v>1.8818501448226161E-7</v>
      </c>
    </row>
    <row r="14" spans="1:27" x14ac:dyDescent="0.2">
      <c r="A14" t="s">
        <v>29</v>
      </c>
      <c r="B14">
        <v>82</v>
      </c>
      <c r="C14">
        <v>74</v>
      </c>
      <c r="D14">
        <v>1E-3</v>
      </c>
      <c r="E14">
        <v>2.0000000000000001E-4</v>
      </c>
      <c r="F14">
        <v>5.0000000000000001E-4</v>
      </c>
      <c r="G14">
        <v>5.0000000000000001E-4</v>
      </c>
      <c r="H14">
        <v>1.05</v>
      </c>
      <c r="I14">
        <v>1</v>
      </c>
      <c r="J14">
        <v>8</v>
      </c>
      <c r="K14">
        <v>4</v>
      </c>
      <c r="L14">
        <v>4</v>
      </c>
      <c r="M14">
        <v>0.8</v>
      </c>
      <c r="N14" t="b">
        <v>1</v>
      </c>
      <c r="O14">
        <v>14</v>
      </c>
      <c r="P14">
        <v>60</v>
      </c>
      <c r="Q14">
        <v>-7.6952505099927182E-2</v>
      </c>
      <c r="R14">
        <v>13</v>
      </c>
      <c r="S14">
        <v>1.0927915573120121E-2</v>
      </c>
      <c r="T14">
        <v>8.7382257988792844E-2</v>
      </c>
      <c r="U14">
        <v>-8.2762387509150007E-2</v>
      </c>
      <c r="V14">
        <v>27</v>
      </c>
      <c r="W14">
        <v>43205.253588676453</v>
      </c>
      <c r="X14">
        <v>43030.587510112993</v>
      </c>
      <c r="Y14">
        <v>5.3244037746889128E-2</v>
      </c>
      <c r="Z14">
        <v>5.8098824092228246E-3</v>
      </c>
      <c r="AA14">
        <v>-7.0199550593927684</v>
      </c>
    </row>
    <row r="15" spans="1:27" x14ac:dyDescent="0.2">
      <c r="A15" t="s">
        <v>29</v>
      </c>
      <c r="B15">
        <v>82</v>
      </c>
      <c r="C15">
        <v>74</v>
      </c>
      <c r="D15">
        <v>1E-3</v>
      </c>
      <c r="E15">
        <v>2.0000000000000001E-4</v>
      </c>
      <c r="F15">
        <v>5.0000000000000001E-4</v>
      </c>
      <c r="G15">
        <v>5.0000000000000001E-4</v>
      </c>
      <c r="H15">
        <v>1.05</v>
      </c>
      <c r="I15">
        <v>1</v>
      </c>
      <c r="J15">
        <v>8</v>
      </c>
      <c r="K15">
        <v>4</v>
      </c>
      <c r="L15">
        <v>4</v>
      </c>
      <c r="M15">
        <v>0.7</v>
      </c>
      <c r="N15" t="b">
        <v>1</v>
      </c>
      <c r="O15">
        <v>22</v>
      </c>
      <c r="P15">
        <v>52</v>
      </c>
      <c r="Q15">
        <v>-8.025858098536455E-2</v>
      </c>
      <c r="R15">
        <v>21</v>
      </c>
      <c r="S15">
        <v>0.58624529838562012</v>
      </c>
      <c r="T15">
        <v>4.6881848699995317</v>
      </c>
      <c r="U15">
        <v>-8.2762387509150007E-2</v>
      </c>
      <c r="V15">
        <v>27</v>
      </c>
      <c r="W15">
        <v>43205.253588676453</v>
      </c>
      <c r="X15">
        <v>43030.587510112993</v>
      </c>
      <c r="Y15">
        <v>5.3244037746889128E-2</v>
      </c>
      <c r="Z15">
        <v>2.5038065237854572E-3</v>
      </c>
      <c r="AA15">
        <v>-3.0252951843718159</v>
      </c>
    </row>
    <row r="16" spans="1:27" x14ac:dyDescent="0.2">
      <c r="A16" t="s">
        <v>29</v>
      </c>
      <c r="B16">
        <v>82</v>
      </c>
      <c r="C16">
        <v>74</v>
      </c>
      <c r="D16">
        <v>1E-3</v>
      </c>
      <c r="E16">
        <v>2.0000000000000001E-4</v>
      </c>
      <c r="F16">
        <v>5.0000000000000001E-4</v>
      </c>
      <c r="G16">
        <v>5.0000000000000001E-4</v>
      </c>
      <c r="H16">
        <v>1.05</v>
      </c>
      <c r="I16">
        <v>1</v>
      </c>
      <c r="J16">
        <v>8</v>
      </c>
      <c r="K16">
        <v>4</v>
      </c>
      <c r="L16">
        <v>4</v>
      </c>
      <c r="M16">
        <v>0.6</v>
      </c>
      <c r="N16" t="b">
        <v>1</v>
      </c>
      <c r="O16">
        <v>29</v>
      </c>
      <c r="P16">
        <v>45</v>
      </c>
      <c r="Q16">
        <v>-8.1759164932577483E-2</v>
      </c>
      <c r="R16">
        <v>23</v>
      </c>
      <c r="S16">
        <v>12.13300704956055</v>
      </c>
      <c r="T16">
        <v>96.903378796007004</v>
      </c>
      <c r="U16">
        <v>-8.2762387509150007E-2</v>
      </c>
      <c r="V16">
        <v>27</v>
      </c>
      <c r="W16">
        <v>43205.253588676453</v>
      </c>
      <c r="X16">
        <v>43030.587510112993</v>
      </c>
      <c r="Y16">
        <v>5.3244037746889128E-2</v>
      </c>
      <c r="Z16">
        <v>1.0032225765725239E-3</v>
      </c>
      <c r="AA16">
        <v>-1.2121721071200491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Can Yayla</cp:lastModifiedBy>
  <dcterms:created xsi:type="dcterms:W3CDTF">2026-03-30T11:15:08Z</dcterms:created>
  <dcterms:modified xsi:type="dcterms:W3CDTF">2026-04-02T14:23:24Z</dcterms:modified>
</cp:coreProperties>
</file>