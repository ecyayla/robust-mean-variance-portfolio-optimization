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emrecanyayla/Documents/Cursor Repo/robust-mean-variance-portfolio-optimization/results/"/>
    </mc:Choice>
  </mc:AlternateContent>
  <xr:revisionPtr revIDLastSave="0" documentId="13_ncr:1_{DD9D0EDE-D79C-174F-A06B-A26E9284A164}" xr6:coauthVersionLast="47" xr6:coauthVersionMax="47" xr10:uidLastSave="{00000000-0000-0000-0000-000000000000}"/>
  <bookViews>
    <workbookView xWindow="700" yWindow="4420" windowWidth="29400" windowHeight="17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1" l="1"/>
  <c r="AB14" i="1"/>
  <c r="AB15" i="1"/>
  <c r="AA13" i="1"/>
  <c r="AA14" i="1"/>
  <c r="AA15" i="1"/>
  <c r="AB10" i="1"/>
  <c r="AB11" i="1"/>
  <c r="AB12" i="1"/>
  <c r="AA10" i="1"/>
  <c r="AA11" i="1"/>
  <c r="AA12" i="1"/>
  <c r="AB3" i="1"/>
  <c r="AB4" i="1"/>
  <c r="AB5" i="1"/>
  <c r="AB6" i="1"/>
  <c r="AB7" i="1"/>
  <c r="AB8" i="1"/>
  <c r="AB9" i="1"/>
  <c r="AB2" i="1"/>
  <c r="AA3" i="1"/>
  <c r="AA4" i="1"/>
  <c r="AA5" i="1"/>
  <c r="AA6" i="1"/>
  <c r="AA7" i="1"/>
  <c r="AA8" i="1"/>
  <c r="AA9" i="1"/>
  <c r="AA2" i="1"/>
</calcChain>
</file>

<file path=xl/sharedStrings.xml><?xml version="1.0" encoding="utf-8"?>
<sst xmlns="http://schemas.openxmlformats.org/spreadsheetml/2006/main" count="55" uniqueCount="31">
  <si>
    <t>Dataset</t>
  </si>
  <si>
    <t>n</t>
  </si>
  <si>
    <t>n_filtered</t>
  </si>
  <si>
    <t>gamma</t>
  </si>
  <si>
    <t>r_c</t>
  </si>
  <si>
    <t>beta</t>
  </si>
  <si>
    <t>beta_scaled</t>
  </si>
  <si>
    <t>tr_factor</t>
  </si>
  <si>
    <t>t</t>
  </si>
  <si>
    <t>dropped_assets</t>
  </si>
  <si>
    <t>dropped_gamma</t>
  </si>
  <si>
    <t>dropped_t</t>
  </si>
  <si>
    <t>drop_fraction</t>
  </si>
  <si>
    <t>drop_farthest</t>
  </si>
  <si>
    <t>n_warm_start</t>
  </si>
  <si>
    <t>warm_start_dropped_assets</t>
  </si>
  <si>
    <t>obj_BnB_warm</t>
  </si>
  <si>
    <t>nnz_BnB_warm</t>
  </si>
  <si>
    <t>time_BnB_warm</t>
  </si>
  <si>
    <t>time_cpu_BnB_warm</t>
  </si>
  <si>
    <t>obj_MIP_GUROBI</t>
  </si>
  <si>
    <t>nnz_MIP_GUROBI</t>
  </si>
  <si>
    <t>time_MIP_GUROBI</t>
  </si>
  <si>
    <t>time_cpu_MIP_GUROBI</t>
  </si>
  <si>
    <t>gap_MIP_GUROBI</t>
  </si>
  <si>
    <t>diff_BnB_vs_GUROBI</t>
  </si>
  <si>
    <t>diff_pct_BnB_vs_GUROBI</t>
  </si>
  <si>
    <t>/home/ecyayla/projects/robust-mean-variance-portfolio-optimization/rmvp/datasets/NASDAQ100_returns.xlsx</t>
  </si>
  <si>
    <t>no gurobi</t>
  </si>
  <si>
    <t>/home/ecyayla/projects/robust-mean-variance-portfolio-optimization/rmvp/datasets/SP500_returns.xlsx</t>
  </si>
  <si>
    <t>/home/ecyayla/projects/robust-mean-variance-portfolio-optimization/rmvp/datasets/FTSE100_returns.xlsx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</si>
</sst>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"/>
  <sheetViews>
    <sheetView tabSelected="1" topLeftCell="C1" workbookViewId="0">
      <selection activeCell="T15" sqref="T15"/>
    </sheetView>
  </sheetViews>
  <sheetFormatPr baseColWidth="10" defaultColWidth="8.83203125" defaultRowHeight="15" x14ac:dyDescent="0.2"/>
  <cols>
    <col min="27" max="27" width="11.83203125" bestFit="1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8" x14ac:dyDescent="0.2">
      <c r="A2" t="s">
        <v>27</v>
      </c>
      <c r="B2">
        <v>70</v>
      </c>
      <c r="C2">
        <v>70</v>
      </c>
      <c r="D2">
        <v>1E-3</v>
      </c>
      <c r="E2">
        <v>2.0000000000000001E-4</v>
      </c>
      <c r="F2">
        <v>1E-4</v>
      </c>
      <c r="G2">
        <v>1E-4</v>
      </c>
      <c r="H2">
        <v>1.05</v>
      </c>
      <c r="J2">
        <v>0</v>
      </c>
      <c r="K2">
        <v>0</v>
      </c>
      <c r="L2">
        <v>0</v>
      </c>
      <c r="M2">
        <v>0.5</v>
      </c>
      <c r="N2" t="b">
        <v>1</v>
      </c>
      <c r="O2">
        <v>35</v>
      </c>
      <c r="P2">
        <v>35</v>
      </c>
      <c r="Q2">
        <v>5.3822889304795728E-4</v>
      </c>
      <c r="R2">
        <v>2</v>
      </c>
      <c r="S2">
        <v>3.756787776947021</v>
      </c>
      <c r="T2">
        <v>29.76795632</v>
      </c>
      <c r="U2">
        <v>5.3822828408231081E-4</v>
      </c>
      <c r="V2">
        <v>2</v>
      </c>
      <c r="W2">
        <v>22.180006265640259</v>
      </c>
      <c r="X2">
        <v>22.163421185000001</v>
      </c>
      <c r="Y2">
        <v>1.5654156272276769E-5</v>
      </c>
      <c r="Z2" t="s">
        <v>28</v>
      </c>
      <c r="AA2">
        <f>(Q2-U2)/U2</f>
        <v>1.131426319414191E-6</v>
      </c>
      <c r="AB2">
        <f>AA2*100</f>
        <v>1.131426319414191E-4</v>
      </c>
    </row>
    <row r="3" spans="1:28" x14ac:dyDescent="0.2">
      <c r="A3" t="s">
        <v>27</v>
      </c>
      <c r="B3">
        <v>70</v>
      </c>
      <c r="C3">
        <v>70</v>
      </c>
      <c r="D3">
        <v>1E-3</v>
      </c>
      <c r="E3">
        <v>2.0000000000000001E-4</v>
      </c>
      <c r="F3">
        <v>1E-4</v>
      </c>
      <c r="G3">
        <v>1E-4</v>
      </c>
      <c r="H3">
        <v>1.05</v>
      </c>
      <c r="J3">
        <v>0</v>
      </c>
      <c r="K3">
        <v>0</v>
      </c>
      <c r="L3">
        <v>0</v>
      </c>
      <c r="M3">
        <v>0.4</v>
      </c>
      <c r="N3" t="b">
        <v>1</v>
      </c>
      <c r="O3">
        <v>42</v>
      </c>
      <c r="P3">
        <v>28</v>
      </c>
      <c r="Q3">
        <v>5.3822889304795728E-4</v>
      </c>
      <c r="R3">
        <v>2</v>
      </c>
      <c r="S3">
        <v>10.48197174072266</v>
      </c>
      <c r="T3">
        <v>83.320885743999995</v>
      </c>
      <c r="U3">
        <v>5.3822828408231081E-4</v>
      </c>
      <c r="V3">
        <v>2</v>
      </c>
      <c r="W3">
        <v>22.180006265640259</v>
      </c>
      <c r="X3">
        <v>22.163421185000001</v>
      </c>
      <c r="Y3">
        <v>1.5654156272276769E-5</v>
      </c>
      <c r="Z3" t="s">
        <v>28</v>
      </c>
      <c r="AA3">
        <f t="shared" ref="AA3:AA15" si="0">(Q3-U3)/U3</f>
        <v>1.131426319414191E-6</v>
      </c>
      <c r="AB3">
        <f t="shared" ref="AB3:AB15" si="1">AA3*100</f>
        <v>1.131426319414191E-4</v>
      </c>
    </row>
    <row r="4" spans="1:28" x14ac:dyDescent="0.2">
      <c r="A4" t="s">
        <v>27</v>
      </c>
      <c r="B4">
        <v>70</v>
      </c>
      <c r="C4">
        <v>70</v>
      </c>
      <c r="D4">
        <v>1E-3</v>
      </c>
      <c r="E4">
        <v>2.0000000000000001E-4</v>
      </c>
      <c r="F4">
        <v>5.0000000000000002E-5</v>
      </c>
      <c r="G4">
        <v>5.0000000000000002E-5</v>
      </c>
      <c r="H4">
        <v>1.05</v>
      </c>
      <c r="J4">
        <v>0</v>
      </c>
      <c r="K4">
        <v>0</v>
      </c>
      <c r="L4">
        <v>0</v>
      </c>
      <c r="M4">
        <v>0.5</v>
      </c>
      <c r="N4" t="b">
        <v>1</v>
      </c>
      <c r="O4">
        <v>35</v>
      </c>
      <c r="P4">
        <v>35</v>
      </c>
      <c r="Q4">
        <v>3.9613905644680632E-4</v>
      </c>
      <c r="R4">
        <v>3</v>
      </c>
      <c r="S4">
        <v>12.81095385551453</v>
      </c>
      <c r="T4">
        <v>101.912357957</v>
      </c>
      <c r="U4">
        <v>3.9613904746116293E-4</v>
      </c>
      <c r="V4">
        <v>3</v>
      </c>
      <c r="W4">
        <v>106.73438358306881</v>
      </c>
      <c r="X4">
        <v>106.776544239</v>
      </c>
      <c r="Y4">
        <v>2.5243507170884149E-5</v>
      </c>
      <c r="Z4" t="s">
        <v>28</v>
      </c>
      <c r="AA4">
        <f t="shared" si="0"/>
        <v>2.2683053968396121E-8</v>
      </c>
      <c r="AB4">
        <f t="shared" si="1"/>
        <v>2.2683053968396121E-6</v>
      </c>
    </row>
    <row r="5" spans="1:28" x14ac:dyDescent="0.2">
      <c r="A5" t="s">
        <v>27</v>
      </c>
      <c r="B5">
        <v>70</v>
      </c>
      <c r="C5">
        <v>70</v>
      </c>
      <c r="D5">
        <v>1E-3</v>
      </c>
      <c r="E5">
        <v>2.0000000000000001E-4</v>
      </c>
      <c r="F5">
        <v>5.0000000000000002E-5</v>
      </c>
      <c r="G5">
        <v>5.0000000000000002E-5</v>
      </c>
      <c r="H5">
        <v>1.05</v>
      </c>
      <c r="J5">
        <v>0</v>
      </c>
      <c r="K5">
        <v>0</v>
      </c>
      <c r="L5">
        <v>0</v>
      </c>
      <c r="M5">
        <v>0.4</v>
      </c>
      <c r="N5" t="b">
        <v>1</v>
      </c>
      <c r="O5">
        <v>42</v>
      </c>
      <c r="P5">
        <v>28</v>
      </c>
      <c r="Q5">
        <v>3.9613905644680632E-4</v>
      </c>
      <c r="R5">
        <v>3</v>
      </c>
      <c r="S5">
        <v>56.082396268844597</v>
      </c>
      <c r="T5">
        <v>425.68081788100011</v>
      </c>
      <c r="U5">
        <v>3.9613904746116293E-4</v>
      </c>
      <c r="V5">
        <v>3</v>
      </c>
      <c r="W5">
        <v>106.73438358306881</v>
      </c>
      <c r="X5">
        <v>106.776544239</v>
      </c>
      <c r="Y5">
        <v>2.5243507170884149E-5</v>
      </c>
      <c r="Z5" t="s">
        <v>28</v>
      </c>
      <c r="AA5">
        <f t="shared" si="0"/>
        <v>2.2683053968396121E-8</v>
      </c>
      <c r="AB5">
        <f t="shared" si="1"/>
        <v>2.2683053968396121E-6</v>
      </c>
    </row>
    <row r="6" spans="1:28" x14ac:dyDescent="0.2">
      <c r="A6" t="s">
        <v>27</v>
      </c>
      <c r="B6">
        <v>70</v>
      </c>
      <c r="C6">
        <v>70</v>
      </c>
      <c r="D6">
        <v>1E-3</v>
      </c>
      <c r="E6">
        <v>2.0000000000000001E-4</v>
      </c>
      <c r="F6">
        <v>1.0000000000000001E-5</v>
      </c>
      <c r="G6">
        <v>1.0000000000000001E-5</v>
      </c>
      <c r="H6">
        <v>1.05</v>
      </c>
      <c r="J6">
        <v>0</v>
      </c>
      <c r="K6">
        <v>0</v>
      </c>
      <c r="L6">
        <v>0</v>
      </c>
      <c r="M6">
        <v>0.5</v>
      </c>
      <c r="N6" t="b">
        <v>1</v>
      </c>
      <c r="O6">
        <v>35</v>
      </c>
      <c r="P6">
        <v>35</v>
      </c>
      <c r="Q6">
        <v>2.1861519502643041E-4</v>
      </c>
      <c r="R6">
        <v>8</v>
      </c>
      <c r="S6">
        <v>230.87194442749021</v>
      </c>
      <c r="T6">
        <v>1751.596241554</v>
      </c>
      <c r="U6">
        <v>2.1861517981998089E-4</v>
      </c>
      <c r="V6">
        <v>8</v>
      </c>
      <c r="W6">
        <v>18081.43042016029</v>
      </c>
      <c r="X6">
        <v>18091.817018379999</v>
      </c>
      <c r="Y6">
        <v>4.5735556764992212E-5</v>
      </c>
      <c r="Z6" t="s">
        <v>28</v>
      </c>
      <c r="AA6">
        <f t="shared" si="0"/>
        <v>6.9558067875186031E-8</v>
      </c>
      <c r="AB6">
        <f t="shared" si="1"/>
        <v>6.9558067875186032E-6</v>
      </c>
    </row>
    <row r="7" spans="1:28" x14ac:dyDescent="0.2">
      <c r="A7" t="s">
        <v>27</v>
      </c>
      <c r="B7">
        <v>70</v>
      </c>
      <c r="C7">
        <v>70</v>
      </c>
      <c r="D7">
        <v>1E-3</v>
      </c>
      <c r="E7">
        <v>2.0000000000000001E-4</v>
      </c>
      <c r="F7">
        <v>1.0000000000000001E-5</v>
      </c>
      <c r="G7">
        <v>1.0000000000000001E-5</v>
      </c>
      <c r="H7">
        <v>1.05</v>
      </c>
      <c r="J7">
        <v>0</v>
      </c>
      <c r="K7">
        <v>0</v>
      </c>
      <c r="L7">
        <v>0</v>
      </c>
      <c r="M7">
        <v>0.4</v>
      </c>
      <c r="N7" t="b">
        <v>1</v>
      </c>
      <c r="O7">
        <v>42</v>
      </c>
      <c r="P7">
        <v>28</v>
      </c>
      <c r="Q7">
        <v>2.1861519502643041E-4</v>
      </c>
      <c r="R7">
        <v>8</v>
      </c>
      <c r="S7">
        <v>1778.7924032211299</v>
      </c>
      <c r="T7">
        <v>13474.898023513</v>
      </c>
      <c r="U7">
        <v>2.1861517981998089E-4</v>
      </c>
      <c r="V7">
        <v>8</v>
      </c>
      <c r="W7">
        <v>18081.43042016029</v>
      </c>
      <c r="X7">
        <v>18091.817018379999</v>
      </c>
      <c r="Y7">
        <v>4.5735556764992212E-5</v>
      </c>
      <c r="Z7" t="s">
        <v>28</v>
      </c>
      <c r="AA7">
        <f t="shared" si="0"/>
        <v>6.9558067875186031E-8</v>
      </c>
      <c r="AB7">
        <f t="shared" si="1"/>
        <v>6.9558067875186032E-6</v>
      </c>
    </row>
    <row r="8" spans="1:28" x14ac:dyDescent="0.2">
      <c r="A8" t="s">
        <v>29</v>
      </c>
      <c r="B8">
        <v>420</v>
      </c>
      <c r="C8">
        <v>420</v>
      </c>
      <c r="D8">
        <v>1E-3</v>
      </c>
      <c r="E8">
        <v>2.0000000000000001E-4</v>
      </c>
      <c r="F8">
        <v>5.0000000000000002E-5</v>
      </c>
      <c r="G8">
        <v>5.0000000000000002E-5</v>
      </c>
      <c r="H8">
        <v>1.05</v>
      </c>
      <c r="J8">
        <v>6</v>
      </c>
      <c r="K8">
        <v>6</v>
      </c>
      <c r="L8">
        <v>0</v>
      </c>
      <c r="M8">
        <v>0.9</v>
      </c>
      <c r="N8" t="b">
        <v>1</v>
      </c>
      <c r="O8">
        <v>42</v>
      </c>
      <c r="P8">
        <v>378</v>
      </c>
      <c r="Q8">
        <v>4.0179566960389049E-4</v>
      </c>
      <c r="R8">
        <v>3</v>
      </c>
      <c r="S8">
        <v>69.412244558334351</v>
      </c>
      <c r="T8">
        <v>550.45715834399994</v>
      </c>
      <c r="U8">
        <v>3.5532411976867161E-4</v>
      </c>
      <c r="V8">
        <v>3</v>
      </c>
      <c r="W8">
        <v>43212.945078849792</v>
      </c>
      <c r="X8">
        <v>43243.517981659003</v>
      </c>
      <c r="Y8">
        <v>0.50730891560963975</v>
      </c>
      <c r="Z8" t="s">
        <v>28</v>
      </c>
      <c r="AA8">
        <f t="shared" si="0"/>
        <v>0.13078636447611122</v>
      </c>
      <c r="AB8">
        <f t="shared" si="1"/>
        <v>13.078636447611123</v>
      </c>
    </row>
    <row r="9" spans="1:28" x14ac:dyDescent="0.2">
      <c r="A9" t="s">
        <v>29</v>
      </c>
      <c r="B9">
        <v>420</v>
      </c>
      <c r="C9">
        <v>420</v>
      </c>
      <c r="D9">
        <v>1E-3</v>
      </c>
      <c r="E9">
        <v>2.0000000000000001E-4</v>
      </c>
      <c r="F9">
        <v>1.0000000000000001E-5</v>
      </c>
      <c r="G9">
        <v>1.0000000000000001E-5</v>
      </c>
      <c r="H9">
        <v>1.05</v>
      </c>
      <c r="J9">
        <v>6</v>
      </c>
      <c r="K9">
        <v>6</v>
      </c>
      <c r="L9">
        <v>0</v>
      </c>
      <c r="M9">
        <v>0.9</v>
      </c>
      <c r="N9" t="b">
        <v>1</v>
      </c>
      <c r="O9">
        <v>42</v>
      </c>
      <c r="P9">
        <v>378</v>
      </c>
      <c r="Q9">
        <v>2.143251334010704E-4</v>
      </c>
      <c r="R9">
        <v>9</v>
      </c>
      <c r="S9">
        <v>13311.5899541378</v>
      </c>
      <c r="T9">
        <v>104054.19992723801</v>
      </c>
      <c r="U9">
        <v>1.9049595201041619E-4</v>
      </c>
      <c r="V9">
        <v>7</v>
      </c>
      <c r="W9">
        <v>43212.589021205902</v>
      </c>
      <c r="X9">
        <v>43245.096614494018</v>
      </c>
      <c r="Y9">
        <v>0.69799416406641512</v>
      </c>
      <c r="Z9" t="s">
        <v>28</v>
      </c>
      <c r="AA9">
        <f t="shared" si="0"/>
        <v>0.12509022443348952</v>
      </c>
      <c r="AB9">
        <f t="shared" si="1"/>
        <v>12.509022443348952</v>
      </c>
    </row>
    <row r="10" spans="1:28" x14ac:dyDescent="0.2">
      <c r="A10" t="s">
        <v>30</v>
      </c>
      <c r="B10">
        <v>82</v>
      </c>
      <c r="C10">
        <v>82</v>
      </c>
      <c r="D10">
        <v>1E-3</v>
      </c>
      <c r="E10">
        <v>2.0000000000000001E-4</v>
      </c>
      <c r="F10">
        <v>5.0000000000000002E-5</v>
      </c>
      <c r="G10">
        <v>5.0000000000000002E-5</v>
      </c>
      <c r="H10">
        <v>1.05</v>
      </c>
      <c r="J10">
        <v>4</v>
      </c>
      <c r="K10">
        <v>4</v>
      </c>
      <c r="L10">
        <v>0</v>
      </c>
      <c r="M10">
        <v>0.7</v>
      </c>
      <c r="N10" t="b">
        <v>1</v>
      </c>
      <c r="O10">
        <v>24</v>
      </c>
      <c r="P10">
        <v>58</v>
      </c>
      <c r="Q10">
        <v>4.0615770281106443E-4</v>
      </c>
      <c r="R10">
        <v>3</v>
      </c>
      <c r="S10">
        <v>0.24911642074584961</v>
      </c>
      <c r="T10">
        <v>1.7416577380000009</v>
      </c>
      <c r="U10">
        <v>4.0615770278782238E-4</v>
      </c>
      <c r="V10">
        <v>3</v>
      </c>
      <c r="W10">
        <v>255.99703907966611</v>
      </c>
      <c r="X10">
        <v>256.12330229600002</v>
      </c>
      <c r="Y10">
        <v>2.37569377928837E-5</v>
      </c>
      <c r="Z10" t="s">
        <v>28</v>
      </c>
      <c r="AA10">
        <f t="shared" si="0"/>
        <v>5.7224181178987635E-11</v>
      </c>
      <c r="AB10">
        <f t="shared" si="1"/>
        <v>5.7224181178987632E-9</v>
      </c>
    </row>
    <row r="11" spans="1:28" x14ac:dyDescent="0.2">
      <c r="A11" t="s">
        <v>30</v>
      </c>
      <c r="B11">
        <v>82</v>
      </c>
      <c r="C11">
        <v>82</v>
      </c>
      <c r="D11">
        <v>1E-3</v>
      </c>
      <c r="E11">
        <v>2.0000000000000001E-4</v>
      </c>
      <c r="F11">
        <v>5.0000000000000002E-5</v>
      </c>
      <c r="G11">
        <v>5.0000000000000002E-5</v>
      </c>
      <c r="H11">
        <v>1.05</v>
      </c>
      <c r="J11">
        <v>4</v>
      </c>
      <c r="K11">
        <v>4</v>
      </c>
      <c r="L11">
        <v>0</v>
      </c>
      <c r="M11">
        <v>0.6</v>
      </c>
      <c r="N11" t="b">
        <v>1</v>
      </c>
      <c r="O11">
        <v>32</v>
      </c>
      <c r="P11">
        <v>50</v>
      </c>
      <c r="Q11">
        <v>4.0615770281106443E-4</v>
      </c>
      <c r="R11">
        <v>3</v>
      </c>
      <c r="S11">
        <v>3.1970887184143071</v>
      </c>
      <c r="T11">
        <v>22.158869159000002</v>
      </c>
      <c r="U11">
        <v>4.0615770278782238E-4</v>
      </c>
      <c r="V11">
        <v>3</v>
      </c>
      <c r="W11">
        <v>255.99703907966611</v>
      </c>
      <c r="X11">
        <v>256.12330229600002</v>
      </c>
      <c r="Y11">
        <v>2.37569377928837E-5</v>
      </c>
      <c r="Z11" t="s">
        <v>28</v>
      </c>
      <c r="AA11">
        <f t="shared" si="0"/>
        <v>5.7224181178987635E-11</v>
      </c>
      <c r="AB11">
        <f t="shared" si="1"/>
        <v>5.7224181178987632E-9</v>
      </c>
    </row>
    <row r="12" spans="1:28" x14ac:dyDescent="0.2">
      <c r="A12" t="s">
        <v>30</v>
      </c>
      <c r="B12">
        <v>82</v>
      </c>
      <c r="C12">
        <v>82</v>
      </c>
      <c r="D12">
        <v>1E-3</v>
      </c>
      <c r="E12">
        <v>2.0000000000000001E-4</v>
      </c>
      <c r="F12">
        <v>5.0000000000000002E-5</v>
      </c>
      <c r="G12">
        <v>5.0000000000000002E-5</v>
      </c>
      <c r="H12">
        <v>1.05</v>
      </c>
      <c r="J12">
        <v>4</v>
      </c>
      <c r="K12">
        <v>4</v>
      </c>
      <c r="L12">
        <v>0</v>
      </c>
      <c r="M12">
        <v>0.5</v>
      </c>
      <c r="N12" t="b">
        <v>1</v>
      </c>
      <c r="O12">
        <v>41</v>
      </c>
      <c r="P12">
        <v>41</v>
      </c>
      <c r="Q12">
        <v>4.0615770281106443E-4</v>
      </c>
      <c r="R12">
        <v>3</v>
      </c>
      <c r="S12">
        <v>21.13127779960632</v>
      </c>
      <c r="T12">
        <v>122.16849455400001</v>
      </c>
      <c r="U12">
        <v>4.0615770278782238E-4</v>
      </c>
      <c r="V12">
        <v>3</v>
      </c>
      <c r="W12">
        <v>255.99703907966611</v>
      </c>
      <c r="X12">
        <v>256.12330229600002</v>
      </c>
      <c r="Y12">
        <v>2.37569377928837E-5</v>
      </c>
      <c r="Z12" t="s">
        <v>28</v>
      </c>
      <c r="AA12">
        <f t="shared" si="0"/>
        <v>5.7224181178987635E-11</v>
      </c>
      <c r="AB12">
        <f t="shared" si="1"/>
        <v>5.7224181178987632E-9</v>
      </c>
    </row>
    <row r="13" spans="1:28" x14ac:dyDescent="0.2">
      <c r="A13" t="s">
        <v>30</v>
      </c>
      <c r="B13">
        <v>82</v>
      </c>
      <c r="C13">
        <v>82</v>
      </c>
      <c r="D13">
        <v>1E-3</v>
      </c>
      <c r="E13">
        <v>2.0000000000000001E-4</v>
      </c>
      <c r="F13">
        <v>1.0000000000000001E-5</v>
      </c>
      <c r="G13">
        <v>1.0000000000000001E-5</v>
      </c>
      <c r="H13">
        <v>1.05</v>
      </c>
      <c r="J13">
        <v>4</v>
      </c>
      <c r="K13">
        <v>4</v>
      </c>
      <c r="L13">
        <v>0</v>
      </c>
      <c r="M13">
        <v>0.7</v>
      </c>
      <c r="N13" t="b">
        <v>1</v>
      </c>
      <c r="O13">
        <v>24</v>
      </c>
      <c r="P13">
        <v>58</v>
      </c>
      <c r="Q13">
        <v>2.4561693098512633E-4</v>
      </c>
      <c r="R13">
        <v>8</v>
      </c>
      <c r="S13">
        <v>7.8322269916534424</v>
      </c>
      <c r="T13">
        <v>36.862445660999981</v>
      </c>
      <c r="U13">
        <v>2.4561693098214298E-4</v>
      </c>
      <c r="V13">
        <v>8</v>
      </c>
      <c r="W13">
        <v>43244.918735265732</v>
      </c>
      <c r="X13">
        <v>43268.665633461998</v>
      </c>
      <c r="Y13">
        <v>5.9987913829901089E-2</v>
      </c>
      <c r="Z13" t="s">
        <v>28</v>
      </c>
      <c r="AA13">
        <f t="shared" si="0"/>
        <v>1.2146332486080268E-11</v>
      </c>
      <c r="AB13">
        <f t="shared" si="1"/>
        <v>1.2146332486080268E-9</v>
      </c>
    </row>
    <row r="14" spans="1:28" x14ac:dyDescent="0.2">
      <c r="A14" t="s">
        <v>30</v>
      </c>
      <c r="B14">
        <v>82</v>
      </c>
      <c r="C14">
        <v>82</v>
      </c>
      <c r="D14">
        <v>1E-3</v>
      </c>
      <c r="E14">
        <v>2.0000000000000001E-4</v>
      </c>
      <c r="F14">
        <v>1.0000000000000001E-5</v>
      </c>
      <c r="G14">
        <v>1.0000000000000001E-5</v>
      </c>
      <c r="H14">
        <v>1.05</v>
      </c>
      <c r="J14">
        <v>4</v>
      </c>
      <c r="K14">
        <v>4</v>
      </c>
      <c r="L14">
        <v>0</v>
      </c>
      <c r="M14">
        <v>0.6</v>
      </c>
      <c r="N14" t="b">
        <v>1</v>
      </c>
      <c r="O14">
        <v>32</v>
      </c>
      <c r="P14">
        <v>50</v>
      </c>
      <c r="Q14">
        <v>2.4561693098512633E-4</v>
      </c>
      <c r="R14">
        <v>8</v>
      </c>
      <c r="S14">
        <v>191.81036424636841</v>
      </c>
      <c r="T14">
        <v>1116.9696334759999</v>
      </c>
      <c r="U14">
        <v>2.4561693098214298E-4</v>
      </c>
      <c r="V14">
        <v>8</v>
      </c>
      <c r="W14">
        <v>43244.918735265732</v>
      </c>
      <c r="X14">
        <v>43268.665633461998</v>
      </c>
      <c r="Y14">
        <v>5.9987913829901089E-2</v>
      </c>
      <c r="Z14" t="s">
        <v>28</v>
      </c>
      <c r="AA14">
        <f t="shared" si="0"/>
        <v>1.2146332486080268E-11</v>
      </c>
      <c r="AB14">
        <f t="shared" si="1"/>
        <v>1.2146332486080268E-9</v>
      </c>
    </row>
    <row r="15" spans="1:28" x14ac:dyDescent="0.2">
      <c r="A15" t="s">
        <v>30</v>
      </c>
      <c r="B15">
        <v>82</v>
      </c>
      <c r="C15">
        <v>82</v>
      </c>
      <c r="D15">
        <v>1E-3</v>
      </c>
      <c r="E15">
        <v>2.0000000000000001E-4</v>
      </c>
      <c r="F15">
        <v>1.0000000000000001E-5</v>
      </c>
      <c r="G15">
        <v>1.0000000000000001E-5</v>
      </c>
      <c r="H15">
        <v>1.05</v>
      </c>
      <c r="J15">
        <v>4</v>
      </c>
      <c r="K15">
        <v>4</v>
      </c>
      <c r="L15">
        <v>0</v>
      </c>
      <c r="M15">
        <v>0.5</v>
      </c>
      <c r="N15" t="b">
        <v>1</v>
      </c>
      <c r="O15">
        <v>41</v>
      </c>
      <c r="P15">
        <v>41</v>
      </c>
      <c r="Q15">
        <v>2.4561693098512633E-4</v>
      </c>
      <c r="R15">
        <v>8</v>
      </c>
      <c r="S15">
        <v>2937.0792360305791</v>
      </c>
      <c r="T15">
        <v>16758.422800229</v>
      </c>
      <c r="U15">
        <v>2.4561693098214298E-4</v>
      </c>
      <c r="V15">
        <v>8</v>
      </c>
      <c r="W15">
        <v>43244.918735265732</v>
      </c>
      <c r="X15">
        <v>43268.665633461998</v>
      </c>
      <c r="Y15">
        <v>5.9987913829901089E-2</v>
      </c>
      <c r="Z15" t="s">
        <v>28</v>
      </c>
      <c r="AA15">
        <f t="shared" si="0"/>
        <v>1.2146332486080268E-11</v>
      </c>
      <c r="AB15">
        <f t="shared" si="1"/>
        <v>1.2146332486080268E-9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Emre Can Yayla</cp:lastModifiedBy>
  <dcterms:created xsi:type="dcterms:W3CDTF">2026-03-28T15:18:53Z</dcterms:created>
  <dcterms:modified xsi:type="dcterms:W3CDTF">2026-04-01T09:52:34Z</dcterms:modified>
</cp:coreProperties>
</file>